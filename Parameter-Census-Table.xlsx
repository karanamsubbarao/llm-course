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IISc\LLM\Assignment\"/>
    </mc:Choice>
  </mc:AlternateContent>
  <xr:revisionPtr revIDLastSave="0" documentId="13_ncr:1_{27E6452F-439B-4AD5-B163-7B45197F9188}" xr6:coauthVersionLast="47" xr6:coauthVersionMax="47" xr10:uidLastSave="{00000000-0000-0000-0000-000000000000}"/>
  <bookViews>
    <workbookView xWindow="-108" yWindow="-108" windowWidth="23256" windowHeight="12456" xr2:uid="{B1722123-D759-47E3-B1CA-BC66C15C17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1" i="1" l="1"/>
  <c r="E41" i="1"/>
  <c r="D41" i="1"/>
  <c r="C41" i="1"/>
  <c r="F40" i="1"/>
  <c r="E40" i="1"/>
  <c r="D40" i="1"/>
  <c r="C40" i="1"/>
  <c r="F37" i="1"/>
  <c r="E37" i="1"/>
  <c r="D37" i="1"/>
  <c r="F34" i="1"/>
  <c r="E34" i="1"/>
  <c r="D34" i="1"/>
  <c r="C37" i="1"/>
  <c r="F35" i="1"/>
  <c r="E35" i="1"/>
  <c r="D35" i="1"/>
  <c r="C35" i="1"/>
  <c r="C28" i="1"/>
  <c r="F28" i="1"/>
  <c r="E28" i="1"/>
  <c r="D28" i="1"/>
  <c r="F24" i="1"/>
  <c r="E24" i="1"/>
  <c r="D24" i="1"/>
  <c r="C24" i="1"/>
  <c r="F23" i="1"/>
  <c r="E23" i="1"/>
  <c r="D23" i="1"/>
  <c r="C23" i="1"/>
  <c r="F18" i="1"/>
  <c r="E18" i="1"/>
  <c r="D18" i="1"/>
  <c r="C18" i="1"/>
  <c r="F17" i="1"/>
  <c r="E17" i="1"/>
  <c r="D17" i="1"/>
  <c r="C17" i="1"/>
  <c r="C20" i="1" s="1"/>
  <c r="F13" i="1"/>
  <c r="E13" i="1"/>
  <c r="D13" i="1"/>
  <c r="C13" i="1"/>
  <c r="F12" i="1"/>
  <c r="E12" i="1"/>
  <c r="D12" i="1"/>
  <c r="C12" i="1"/>
  <c r="C25" i="1" l="1"/>
  <c r="D25" i="1"/>
  <c r="E25" i="1"/>
  <c r="F25" i="1"/>
  <c r="C31" i="1"/>
  <c r="C34" i="1" s="1"/>
  <c r="F20" i="1"/>
  <c r="F31" i="1" s="1"/>
  <c r="D20" i="1"/>
  <c r="D31" i="1" s="1"/>
  <c r="E20" i="1"/>
  <c r="E31" i="1" s="1"/>
</calcChain>
</file>

<file path=xl/sharedStrings.xml><?xml version="1.0" encoding="utf-8"?>
<sst xmlns="http://schemas.openxmlformats.org/spreadsheetml/2006/main" count="49" uniqueCount="48">
  <si>
    <t>Model</t>
  </si>
  <si>
    <t>Layers (𝐿)</t>
  </si>
  <si>
    <t>𝑑model</t>
  </si>
  <si>
    <t>Heads</t>
  </si>
  <si>
    <t>𝑑ff</t>
  </si>
  <si>
    <t>Vocab (𝑉)</t>
  </si>
  <si>
    <t>Max Seq (𝑇)</t>
  </si>
  <si>
    <t>Total Params</t>
  </si>
  <si>
    <t>Small</t>
  </si>
  <si>
    <t>~124M</t>
  </si>
  <si>
    <t>Medium</t>
  </si>
  <si>
    <t>~355M</t>
  </si>
  <si>
    <t>Large</t>
  </si>
  <si>
    <t>~774M</t>
  </si>
  <si>
    <t>XL</t>
  </si>
  <si>
    <t>~1.5B</t>
  </si>
  <si>
    <t>Component</t>
  </si>
  <si>
    <t>Formula</t>
  </si>
  <si>
    <t>Small (124M)</t>
  </si>
  <si>
    <t>Medium (355M)</t>
  </si>
  <si>
    <t>Large (774M)</t>
  </si>
  <si>
    <t>XL (1.5B)</t>
  </si>
  <si>
    <t>Token</t>
  </si>
  <si>
    <t>Positional</t>
  </si>
  <si>
    <t>Per Layer</t>
  </si>
  <si>
    <t>Attention QKV</t>
  </si>
  <si>
    <t>Attention Out</t>
  </si>
  <si>
    <t>MLP Up</t>
  </si>
  <si>
    <t>MLP Down</t>
  </si>
  <si>
    <t>LayerNorms (2 LNs)</t>
  </si>
  <si>
    <t>Total Per Layer</t>
  </si>
  <si>
    <t>~7.1M</t>
  </si>
  <si>
    <t>~12.6M</t>
  </si>
  <si>
    <t>~19.7M</t>
  </si>
  <si>
    <t>All Layers</t>
  </si>
  <si>
    <t>TOTAL PARAMS</t>
  </si>
  <si>
    <t>FP32 Memory</t>
  </si>
  <si>
    <t>FP16 Memory</t>
  </si>
  <si>
    <t>𝑉×𝑑model</t>
  </si>
  <si>
    <t>𝑇×𝑑model</t>
  </si>
  <si>
    <t>3×𝑑model^2</t>
  </si>
  <si>
    <t>𝑑model^2</t>
  </si>
  <si>
    <t>𝑑model×𝑑ff</t>
  </si>
  <si>
    <t>𝑑ff×𝑑model</t>
  </si>
  <si>
    <t>4×𝑑model</t>
  </si>
  <si>
    <t>Attention Total</t>
  </si>
  <si>
    <t>MLP Total</t>
  </si>
  <si>
    <t>Final LayerNorm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</si>
</sst>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7A5B-4F8B-46B1-A205-15C8D2387EF6}">
  <dimension ref="A1:H41"/>
  <sheetViews>
    <sheetView tabSelected="1" workbookViewId="0">
      <selection sqref="A1:H41"/>
    </sheetView>
  </sheetViews>
  <sheetFormatPr defaultRowHeight="14.4" x14ac:dyDescent="0.3"/>
  <cols>
    <col min="1" max="1" width="19" customWidth="1"/>
    <col min="2" max="2" width="24.5546875" customWidth="1"/>
    <col min="3" max="3" width="18.21875" customWidth="1"/>
    <col min="4" max="4" width="20.77734375" customWidth="1"/>
    <col min="5" max="5" width="23.33203125" customWidth="1"/>
    <col min="6" max="6" width="18.77734375" customWidth="1"/>
    <col min="7" max="7" width="20.33203125" customWidth="1"/>
    <col min="8" max="8" width="19.441406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12</v>
      </c>
      <c r="C2" s="2">
        <v>768</v>
      </c>
      <c r="D2" s="2">
        <v>12</v>
      </c>
      <c r="E2" s="2">
        <v>3072</v>
      </c>
      <c r="F2" s="3">
        <v>50257</v>
      </c>
      <c r="G2" s="2">
        <v>1024</v>
      </c>
      <c r="H2" s="2" t="s">
        <v>9</v>
      </c>
    </row>
    <row r="3" spans="1:8" x14ac:dyDescent="0.3">
      <c r="A3" s="2" t="s">
        <v>10</v>
      </c>
      <c r="B3" s="2">
        <v>24</v>
      </c>
      <c r="C3" s="2">
        <v>1024</v>
      </c>
      <c r="D3" s="2">
        <v>16</v>
      </c>
      <c r="E3" s="2">
        <v>4096</v>
      </c>
      <c r="F3" s="3">
        <v>50257</v>
      </c>
      <c r="G3" s="2">
        <v>1024</v>
      </c>
      <c r="H3" s="2" t="s">
        <v>11</v>
      </c>
    </row>
    <row r="4" spans="1:8" x14ac:dyDescent="0.3">
      <c r="A4" s="2" t="s">
        <v>12</v>
      </c>
      <c r="B4" s="2">
        <v>36</v>
      </c>
      <c r="C4" s="2">
        <v>1280</v>
      </c>
      <c r="D4" s="2">
        <v>20</v>
      </c>
      <c r="E4" s="2">
        <v>5120</v>
      </c>
      <c r="F4" s="3">
        <v>50257</v>
      </c>
      <c r="G4" s="2">
        <v>1024</v>
      </c>
      <c r="H4" s="2" t="s">
        <v>13</v>
      </c>
    </row>
    <row r="5" spans="1:8" x14ac:dyDescent="0.3">
      <c r="A5" s="2" t="s">
        <v>14</v>
      </c>
      <c r="B5" s="2">
        <v>48</v>
      </c>
      <c r="C5" s="2">
        <v>1600</v>
      </c>
      <c r="D5" s="2">
        <v>25</v>
      </c>
      <c r="E5" s="2">
        <v>6400</v>
      </c>
      <c r="F5" s="3">
        <v>50257</v>
      </c>
      <c r="G5" s="2">
        <v>1024</v>
      </c>
      <c r="H5" s="2" t="s">
        <v>15</v>
      </c>
    </row>
    <row r="6" spans="1:8" x14ac:dyDescent="0.3">
      <c r="A6" s="2"/>
      <c r="B6" s="2"/>
      <c r="C6" s="2"/>
      <c r="D6" s="2"/>
      <c r="E6" s="2"/>
      <c r="F6" s="2"/>
      <c r="G6" s="2"/>
      <c r="H6" s="2"/>
    </row>
    <row r="7" spans="1:8" x14ac:dyDescent="0.3">
      <c r="A7" s="4"/>
      <c r="B7" s="4"/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5" t="s">
        <v>16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2" t="s">
        <v>22</v>
      </c>
      <c r="B12" s="2" t="s">
        <v>38</v>
      </c>
      <c r="C12" s="2">
        <f>(F2 *C2)</f>
        <v>38597376</v>
      </c>
      <c r="D12" s="2">
        <f>(F3 *C3)</f>
        <v>51463168</v>
      </c>
      <c r="E12" s="2">
        <f>(F4 *C4)</f>
        <v>64328960</v>
      </c>
      <c r="F12" s="2">
        <f>(F5 *C5)</f>
        <v>80411200</v>
      </c>
      <c r="G12" s="4"/>
      <c r="H12" s="4"/>
    </row>
    <row r="13" spans="1:8" x14ac:dyDescent="0.3">
      <c r="A13" s="2" t="s">
        <v>23</v>
      </c>
      <c r="B13" s="2" t="s">
        <v>39</v>
      </c>
      <c r="C13" s="2">
        <f>(G2 *C2)</f>
        <v>786432</v>
      </c>
      <c r="D13" s="2">
        <f>(G3 *C3)</f>
        <v>1048576</v>
      </c>
      <c r="E13" s="2">
        <f>(G4 *C4 )</f>
        <v>1310720</v>
      </c>
      <c r="F13" s="2">
        <f>(G5 *C5)</f>
        <v>1638400</v>
      </c>
      <c r="G13" s="4"/>
      <c r="H13" s="4"/>
    </row>
    <row r="14" spans="1:8" x14ac:dyDescent="0.3">
      <c r="A14" s="2"/>
      <c r="B14" s="2"/>
      <c r="C14" s="2"/>
      <c r="D14" s="2"/>
      <c r="E14" s="2"/>
      <c r="F14" s="2"/>
      <c r="G14" s="4"/>
      <c r="H14" s="4"/>
    </row>
    <row r="15" spans="1:8" x14ac:dyDescent="0.3">
      <c r="A15" s="2" t="s">
        <v>24</v>
      </c>
      <c r="B15" s="2"/>
      <c r="C15" s="2"/>
      <c r="D15" s="2"/>
      <c r="E15" s="2"/>
      <c r="F15" s="2"/>
      <c r="G15" s="4"/>
      <c r="H15" s="4"/>
    </row>
    <row r="16" spans="1:8" x14ac:dyDescent="0.3">
      <c r="A16" s="2"/>
      <c r="B16" s="2"/>
      <c r="C16" s="2"/>
      <c r="D16" s="2"/>
      <c r="E16" s="2"/>
      <c r="F16" s="2"/>
      <c r="G16" s="4"/>
      <c r="H16" s="4"/>
    </row>
    <row r="17" spans="1:8" x14ac:dyDescent="0.3">
      <c r="A17" s="2" t="s">
        <v>25</v>
      </c>
      <c r="B17" s="2" t="s">
        <v>40</v>
      </c>
      <c r="C17" s="2">
        <f>(3 * C2^2)</f>
        <v>1769472</v>
      </c>
      <c r="D17" s="2">
        <f>(3 * C3^2)</f>
        <v>3145728</v>
      </c>
      <c r="E17" s="2">
        <f>(3 *C4^2)</f>
        <v>4915200</v>
      </c>
      <c r="F17" s="2">
        <f>(3 *C5 ^2)</f>
        <v>7680000</v>
      </c>
      <c r="G17" s="4"/>
      <c r="H17" s="4"/>
    </row>
    <row r="18" spans="1:8" x14ac:dyDescent="0.3">
      <c r="A18" s="2" t="s">
        <v>26</v>
      </c>
      <c r="B18" s="2" t="s">
        <v>41</v>
      </c>
      <c r="C18" s="2">
        <f>(C2^2)</f>
        <v>589824</v>
      </c>
      <c r="D18" s="2">
        <f>(C3^2)</f>
        <v>1048576</v>
      </c>
      <c r="E18" s="2">
        <f>(C4^2)</f>
        <v>1638400</v>
      </c>
      <c r="F18" s="2">
        <f>(C5^2)</f>
        <v>2560000</v>
      </c>
      <c r="G18" s="4"/>
      <c r="H18" s="4"/>
    </row>
    <row r="19" spans="1:8" x14ac:dyDescent="0.3">
      <c r="A19" s="2"/>
      <c r="B19" s="2"/>
      <c r="C19" s="2"/>
      <c r="D19" s="2"/>
      <c r="E19" s="2"/>
      <c r="F19" s="2"/>
      <c r="G19" s="4"/>
      <c r="H19" s="4"/>
    </row>
    <row r="20" spans="1:8" x14ac:dyDescent="0.3">
      <c r="A20" s="2" t="s">
        <v>45</v>
      </c>
      <c r="B20" s="2"/>
      <c r="C20" s="6">
        <f>SUM(C17:C18)</f>
        <v>2359296</v>
      </c>
      <c r="D20" s="2">
        <f>SUM(D17:D18)</f>
        <v>4194304</v>
      </c>
      <c r="E20" s="2">
        <f>SUM(E17:E18)</f>
        <v>6553600</v>
      </c>
      <c r="F20" s="2">
        <f>SUM(F17:F18)</f>
        <v>10240000</v>
      </c>
      <c r="G20" s="4"/>
      <c r="H20" s="4"/>
    </row>
    <row r="21" spans="1:8" x14ac:dyDescent="0.3">
      <c r="A21" s="2"/>
      <c r="B21" s="2"/>
      <c r="C21" s="7"/>
      <c r="D21" s="2"/>
      <c r="E21" s="2"/>
      <c r="F21" s="2"/>
      <c r="G21" s="4"/>
      <c r="H21" s="4"/>
    </row>
    <row r="22" spans="1:8" x14ac:dyDescent="0.3">
      <c r="A22" s="2"/>
      <c r="B22" s="2"/>
      <c r="C22" s="7"/>
      <c r="D22" s="2"/>
      <c r="E22" s="2"/>
      <c r="F22" s="2"/>
      <c r="G22" s="4"/>
      <c r="H22" s="4"/>
    </row>
    <row r="23" spans="1:8" x14ac:dyDescent="0.3">
      <c r="A23" s="2" t="s">
        <v>27</v>
      </c>
      <c r="B23" s="2" t="s">
        <v>42</v>
      </c>
      <c r="C23" s="2">
        <f>(C2 *E2)</f>
        <v>2359296</v>
      </c>
      <c r="D23" s="2">
        <f>(C3 *E3)</f>
        <v>4194304</v>
      </c>
      <c r="E23" s="2">
        <f>(C4 * E4)</f>
        <v>6553600</v>
      </c>
      <c r="F23" s="2">
        <f>(C5 *E5)</f>
        <v>10240000</v>
      </c>
      <c r="G23" s="4"/>
      <c r="H23" s="4"/>
    </row>
    <row r="24" spans="1:8" x14ac:dyDescent="0.3">
      <c r="A24" s="2" t="s">
        <v>28</v>
      </c>
      <c r="B24" s="2" t="s">
        <v>43</v>
      </c>
      <c r="C24" s="2">
        <f>(E2 *C2)</f>
        <v>2359296</v>
      </c>
      <c r="D24" s="2">
        <f>(E3 *C3)</f>
        <v>4194304</v>
      </c>
      <c r="E24" s="2">
        <f>(E4 *C4)</f>
        <v>6553600</v>
      </c>
      <c r="F24" s="2">
        <f>(E5 *C5)</f>
        <v>10240000</v>
      </c>
      <c r="G24" s="4"/>
      <c r="H24" s="4"/>
    </row>
    <row r="25" spans="1:8" x14ac:dyDescent="0.3">
      <c r="A25" s="2" t="s">
        <v>46</v>
      </c>
      <c r="B25" s="2"/>
      <c r="C25" s="2">
        <f>SUM(C23:C24)</f>
        <v>4718592</v>
      </c>
      <c r="D25" s="2">
        <f>SUM(D23:D24)</f>
        <v>8388608</v>
      </c>
      <c r="E25" s="2">
        <f>SUM(E23:E24)</f>
        <v>13107200</v>
      </c>
      <c r="F25" s="2">
        <f>SUM(F23:F24)</f>
        <v>20480000</v>
      </c>
      <c r="G25" s="4"/>
      <c r="H25" s="4"/>
    </row>
    <row r="26" spans="1:8" x14ac:dyDescent="0.3">
      <c r="A26" s="2"/>
      <c r="B26" s="2"/>
      <c r="C26" s="2"/>
      <c r="D26" s="2"/>
      <c r="E26" s="2"/>
      <c r="F26" s="2"/>
      <c r="G26" s="4"/>
      <c r="H26" s="4"/>
    </row>
    <row r="27" spans="1:8" x14ac:dyDescent="0.3">
      <c r="A27" s="2"/>
      <c r="B27" s="2"/>
      <c r="C27" s="2"/>
      <c r="D27" s="2"/>
      <c r="E27" s="2"/>
      <c r="F27" s="2"/>
      <c r="G27" s="4"/>
      <c r="H27" s="4"/>
    </row>
    <row r="28" spans="1:8" x14ac:dyDescent="0.3">
      <c r="A28" s="2" t="s">
        <v>29</v>
      </c>
      <c r="B28" s="2" t="s">
        <v>44</v>
      </c>
      <c r="C28" s="2">
        <f>(4 *C2)</f>
        <v>3072</v>
      </c>
      <c r="D28" s="2">
        <f>(4 *C3)</f>
        <v>4096</v>
      </c>
      <c r="E28" s="2">
        <f>(4 * C4)</f>
        <v>5120</v>
      </c>
      <c r="F28" s="2">
        <f>(4*C5)</f>
        <v>6400</v>
      </c>
      <c r="G28" s="4"/>
      <c r="H28" s="4"/>
    </row>
    <row r="29" spans="1:8" x14ac:dyDescent="0.3">
      <c r="A29" s="2"/>
      <c r="B29" s="2"/>
      <c r="C29" s="2"/>
      <c r="D29" s="2"/>
      <c r="E29" s="2"/>
      <c r="F29" s="2"/>
      <c r="G29" s="4"/>
      <c r="H29" s="4"/>
    </row>
    <row r="30" spans="1:8" x14ac:dyDescent="0.3">
      <c r="A30" s="2"/>
      <c r="B30" s="2"/>
      <c r="C30" s="2"/>
      <c r="D30" s="2"/>
      <c r="E30" s="2"/>
      <c r="F30" s="2"/>
      <c r="G30" s="4"/>
      <c r="H30" s="4"/>
    </row>
    <row r="31" spans="1:8" x14ac:dyDescent="0.3">
      <c r="A31" s="2" t="s">
        <v>30</v>
      </c>
      <c r="B31" s="2"/>
      <c r="C31" s="6">
        <f>(C20 +C25+C28)</f>
        <v>7080960</v>
      </c>
      <c r="D31" s="2">
        <f>(D20 +D25+D28)</f>
        <v>12587008</v>
      </c>
      <c r="E31" s="2">
        <f>(E20 +E25 +E28)</f>
        <v>19665920</v>
      </c>
      <c r="F31" s="2">
        <f>(F20 +F25 +F28)</f>
        <v>30726400</v>
      </c>
      <c r="G31" s="4"/>
      <c r="H31" s="4"/>
    </row>
    <row r="32" spans="1:8" x14ac:dyDescent="0.3">
      <c r="A32" s="2" t="s">
        <v>30</v>
      </c>
      <c r="B32" s="2"/>
      <c r="C32" s="2" t="s">
        <v>31</v>
      </c>
      <c r="D32" s="2" t="s">
        <v>32</v>
      </c>
      <c r="E32" s="2" t="s">
        <v>33</v>
      </c>
      <c r="F32" s="2"/>
      <c r="G32" s="4"/>
      <c r="H32" s="4"/>
    </row>
    <row r="33" spans="1:8" x14ac:dyDescent="0.3">
      <c r="A33" s="2"/>
      <c r="B33" s="2"/>
      <c r="C33" s="2"/>
      <c r="D33" s="2"/>
      <c r="E33" s="2"/>
      <c r="F33" s="2"/>
      <c r="G33" s="4"/>
      <c r="H33" s="4"/>
    </row>
    <row r="34" spans="1:8" x14ac:dyDescent="0.3">
      <c r="A34" s="4" t="s">
        <v>34</v>
      </c>
      <c r="B34" s="4"/>
      <c r="C34" s="2">
        <f>(12 *C31)</f>
        <v>84971520</v>
      </c>
      <c r="D34" s="2">
        <f>(24*D31)</f>
        <v>302088192</v>
      </c>
      <c r="E34" s="2">
        <f>(36 *E31)</f>
        <v>707973120</v>
      </c>
      <c r="F34" s="2">
        <f>(48 *F31)</f>
        <v>1474867200</v>
      </c>
      <c r="G34" s="4"/>
      <c r="H34" s="4"/>
    </row>
    <row r="35" spans="1:8" x14ac:dyDescent="0.3">
      <c r="A35" s="2" t="s">
        <v>47</v>
      </c>
      <c r="B35" s="4"/>
      <c r="C35" s="2">
        <f>(C2 *2)</f>
        <v>1536</v>
      </c>
      <c r="D35" s="2">
        <f>(C3 * 2)</f>
        <v>2048</v>
      </c>
      <c r="E35" s="2">
        <f>(C4 * 2)</f>
        <v>2560</v>
      </c>
      <c r="F35" s="2">
        <f>(C5 * 2)</f>
        <v>3200</v>
      </c>
      <c r="G35" s="4"/>
      <c r="H35" s="4"/>
    </row>
    <row r="36" spans="1:8" x14ac:dyDescent="0.3">
      <c r="A36" s="2"/>
      <c r="B36" s="4"/>
      <c r="C36" s="2"/>
      <c r="D36" s="2"/>
      <c r="E36" s="2"/>
      <c r="F36" s="2"/>
      <c r="G36" s="4"/>
      <c r="H36" s="4"/>
    </row>
    <row r="37" spans="1:8" x14ac:dyDescent="0.3">
      <c r="A37" s="4" t="s">
        <v>35</v>
      </c>
      <c r="B37" s="4"/>
      <c r="C37" s="2">
        <f>(C12 +C13 + C34 + C35)</f>
        <v>124356864</v>
      </c>
      <c r="D37" s="2">
        <f>(D12 + D13 +D34 +D35)</f>
        <v>354601984</v>
      </c>
      <c r="E37" s="2">
        <f>(E12 +E13 +E34 +E35)</f>
        <v>773615360</v>
      </c>
      <c r="F37" s="2">
        <f>(F12 + F13 +F34 + F35 )</f>
        <v>1556920000</v>
      </c>
      <c r="G37" s="4"/>
      <c r="H37" s="4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8" t="s">
        <v>36</v>
      </c>
      <c r="B40" s="4"/>
      <c r="C40" s="2">
        <f>(C37 * 4) /(1024 *1024)</f>
        <v>474.3837890625</v>
      </c>
      <c r="D40" s="2">
        <f>(D37 * 4)/(1024 *1024)</f>
        <v>1352.69921875</v>
      </c>
      <c r="E40" s="2">
        <f>(E37 * 4)/(1024 *1024)</f>
        <v>2951.1083984375</v>
      </c>
      <c r="F40" s="2">
        <f>(F37 * 4)/(1024 *1024)</f>
        <v>5939.178466796875</v>
      </c>
      <c r="G40" s="4"/>
      <c r="H40" s="4"/>
    </row>
    <row r="41" spans="1:8" x14ac:dyDescent="0.3">
      <c r="A41" s="4" t="s">
        <v>37</v>
      </c>
      <c r="B41" s="4"/>
      <c r="C41" s="2">
        <f>(C37 * 2)/(1024 *1024)</f>
        <v>237.19189453125</v>
      </c>
      <c r="D41" s="2">
        <f>(D37 * 2) /(1024 *1024)</f>
        <v>676.349609375</v>
      </c>
      <c r="E41" s="2">
        <f>(E37 * 2) /(1024 * 1024)</f>
        <v>1475.55419921875</v>
      </c>
      <c r="F41" s="2">
        <f>(F37 * 2)/ (1024 *1024)</f>
        <v>2969.5892333984375</v>
      </c>
      <c r="G41" s="4"/>
      <c r="H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.</dc:creator>
  <cp:lastModifiedBy>Dell .</cp:lastModifiedBy>
  <dcterms:created xsi:type="dcterms:W3CDTF">2026-06-19T05:22:50Z</dcterms:created>
  <dcterms:modified xsi:type="dcterms:W3CDTF">2026-06-22T07:10:54Z</dcterms:modified>
</cp:coreProperties>
</file>